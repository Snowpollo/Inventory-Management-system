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Excel project files\"/>
    </mc:Choice>
  </mc:AlternateContent>
  <xr:revisionPtr revIDLastSave="0" documentId="8_{AFFAACC3-3E4B-4164-8D1C-312B2D710791}" xr6:coauthVersionLast="47" xr6:coauthVersionMax="47" xr10:uidLastSave="{00000000-0000-0000-0000-000000000000}"/>
  <bookViews>
    <workbookView xWindow="-120" yWindow="-120" windowWidth="20730" windowHeight="11040" firstSheet="2" activeTab="5" xr2:uid="{D770A362-B0D6-4A6C-ABF5-70DCEFF421F5}"/>
  </bookViews>
  <sheets>
    <sheet name="Products" sheetId="1" r:id="rId1"/>
    <sheet name="Stock movements" sheetId="2" r:id="rId2"/>
    <sheet name="iniventory summary" sheetId="4" r:id="rId3"/>
    <sheet name="dashboard" sheetId="3" r:id="rId4"/>
    <sheet name="CategoryAnalysis" sheetId="5" r:id="rId5"/>
    <sheet name="total stock on hand " sheetId="6" r:id="rId6"/>
  </sheets>
  <calcPr calcId="191029"/>
  <pivotCaches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B3" i="3"/>
  <c r="E3" i="4"/>
  <c r="E4" i="4"/>
  <c r="E5" i="4"/>
  <c r="E6" i="4"/>
  <c r="F6" i="4" s="1"/>
  <c r="E7" i="4"/>
  <c r="E8" i="4"/>
  <c r="E9" i="4"/>
  <c r="E10" i="4"/>
  <c r="E11" i="4"/>
  <c r="E12" i="4"/>
  <c r="E13" i="4"/>
  <c r="D2" i="4"/>
  <c r="D3" i="4"/>
  <c r="F3" i="4" s="1"/>
  <c r="D4" i="4"/>
  <c r="F4" i="4" s="1"/>
  <c r="D5" i="4"/>
  <c r="D6" i="4"/>
  <c r="D7" i="4"/>
  <c r="F7" i="4" s="1"/>
  <c r="D9" i="4"/>
  <c r="D10" i="4"/>
  <c r="F10" i="4" s="1"/>
  <c r="D11" i="4"/>
  <c r="D12" i="4"/>
  <c r="D13" i="4"/>
  <c r="E2" i="4"/>
  <c r="H2" i="4" s="1"/>
  <c r="G2" i="4"/>
  <c r="G3" i="4"/>
  <c r="G4" i="4"/>
  <c r="G5" i="4"/>
  <c r="G6" i="4"/>
  <c r="G7" i="4"/>
  <c r="G8" i="4"/>
  <c r="G9" i="4"/>
  <c r="G10" i="4"/>
  <c r="G11" i="4"/>
  <c r="G12" i="4"/>
  <c r="G13" i="4"/>
  <c r="C2" i="4"/>
  <c r="C3" i="4"/>
  <c r="C4" i="4"/>
  <c r="C5" i="4"/>
  <c r="C6" i="4"/>
  <c r="C7" i="4"/>
  <c r="C8" i="4"/>
  <c r="C9" i="4"/>
  <c r="C10" i="4"/>
  <c r="C11" i="4"/>
  <c r="C12" i="4"/>
  <c r="C13" i="4"/>
  <c r="B2" i="4"/>
  <c r="B3" i="4"/>
  <c r="B4" i="4"/>
  <c r="B5" i="4"/>
  <c r="B6" i="4"/>
  <c r="B7" i="4"/>
  <c r="B8" i="4"/>
  <c r="B9" i="4"/>
  <c r="B10" i="4"/>
  <c r="B11" i="4"/>
  <c r="B12" i="4"/>
  <c r="B13" i="4"/>
  <c r="A13" i="4"/>
  <c r="A3" i="4"/>
  <c r="A4" i="4"/>
  <c r="A5" i="4"/>
  <c r="A6" i="4"/>
  <c r="A7" i="4"/>
  <c r="A8" i="4"/>
  <c r="A9" i="4"/>
  <c r="A10" i="4"/>
  <c r="A11" i="4"/>
  <c r="A12" i="4"/>
  <c r="A2" i="4"/>
  <c r="F5" i="4" l="1"/>
  <c r="F12" i="4"/>
  <c r="F11" i="4"/>
  <c r="F8" i="4"/>
  <c r="F13" i="4"/>
  <c r="F9" i="4"/>
  <c r="H13" i="4"/>
  <c r="H5" i="4"/>
  <c r="H6" i="3" s="1"/>
  <c r="H12" i="4"/>
  <c r="H8" i="4"/>
  <c r="H4" i="4"/>
  <c r="H11" i="4"/>
  <c r="H7" i="4"/>
  <c r="H3" i="4"/>
  <c r="H9" i="4"/>
  <c r="H10" i="4"/>
  <c r="H6" i="4"/>
  <c r="F2" i="4"/>
  <c r="E3" i="3"/>
  <c r="B6" i="3" l="1"/>
  <c r="E6" i="3"/>
  <c r="H3" i="3"/>
</calcChain>
</file>

<file path=xl/sharedStrings.xml><?xml version="1.0" encoding="utf-8"?>
<sst xmlns="http://schemas.openxmlformats.org/spreadsheetml/2006/main" count="252" uniqueCount="104">
  <si>
    <t>ProductID</t>
  </si>
  <si>
    <t>ProductName</t>
  </si>
  <si>
    <t>Category</t>
  </si>
  <si>
    <t>SupplierID</t>
  </si>
  <si>
    <t>UnitCost</t>
  </si>
  <si>
    <t>ReorderLevel</t>
  </si>
  <si>
    <t>P001</t>
  </si>
  <si>
    <t>Wireless Mouse</t>
  </si>
  <si>
    <t>Accessories</t>
  </si>
  <si>
    <t>S001</t>
  </si>
  <si>
    <t>P002</t>
  </si>
  <si>
    <t>Mechanical Keyboard</t>
  </si>
  <si>
    <t>S002</t>
  </si>
  <si>
    <t>P003</t>
  </si>
  <si>
    <t>USB-C Hub</t>
  </si>
  <si>
    <t>P004</t>
  </si>
  <si>
    <t>Laptop Stand</t>
  </si>
  <si>
    <t>Office Equipment</t>
  </si>
  <si>
    <t>S003</t>
  </si>
  <si>
    <t>P005</t>
  </si>
  <si>
    <t>27-inch Monitor</t>
  </si>
  <si>
    <t>Electronics</t>
  </si>
  <si>
    <t>S004</t>
  </si>
  <si>
    <t>P006</t>
  </si>
  <si>
    <t>Webcam</t>
  </si>
  <si>
    <t>P007</t>
  </si>
  <si>
    <t>Headphones</t>
  </si>
  <si>
    <t>P008</t>
  </si>
  <si>
    <t>Laptop Backpack</t>
  </si>
  <si>
    <t>Bags</t>
  </si>
  <si>
    <t>P009</t>
  </si>
  <si>
    <t>USB Flash Drive 64GB</t>
  </si>
  <si>
    <t>Storage</t>
  </si>
  <si>
    <t>P010</t>
  </si>
  <si>
    <t>External SSD 1TB</t>
  </si>
  <si>
    <t>P011</t>
  </si>
  <si>
    <t>Wireless Keyboard</t>
  </si>
  <si>
    <t>P012</t>
  </si>
  <si>
    <t>Power Bank</t>
  </si>
  <si>
    <t>MovementID</t>
  </si>
  <si>
    <t>Date</t>
  </si>
  <si>
    <t>MovementType</t>
  </si>
  <si>
    <t>Quantity</t>
  </si>
  <si>
    <t>M001</t>
  </si>
  <si>
    <t>Purchase</t>
  </si>
  <si>
    <t>M002</t>
  </si>
  <si>
    <t>Sale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</si>
  <si>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</si>
  <si>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</si>
  <si>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</si>
  <si>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</si>
  <si>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</si>
  <si>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</si>
  <si>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</si>
  <si>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</si>
  <si>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</si>
  <si>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</si>
  <si>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</si>
  <si>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</si>
  <si>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</si>
  <si>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</si>
  <si>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</si>
  <si>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</si>
  <si>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</si>
  <si>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</si>
  <si>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</si>
  <si>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</si>
  <si>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</si>
  <si>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</si>
  <si>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</si>
  <si>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</si>
  <si>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Adjustment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</si>
  <si>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</si>
  <si>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</si>
  <si>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</si>
  <si>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</si>
  <si>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</si>
  <si>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</si>
  <si>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</si>
  <si>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</si>
  <si>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</si>
  <si>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</si>
  <si>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StockOnHand</t>
  </si>
  <si>
    <t>StockValue</t>
  </si>
  <si>
    <t>StockStatus</t>
  </si>
  <si>
    <t>M037</t>
  </si>
  <si>
    <t>M038</t>
  </si>
  <si>
    <t>M039</t>
  </si>
  <si>
    <t>M040</t>
  </si>
  <si>
    <t>M041</t>
  </si>
  <si>
    <t>INVENTORY MANAGEMENT DASHBOARD</t>
  </si>
  <si>
    <t>Total Products</t>
  </si>
  <si>
    <t>Total Units in Stock</t>
  </si>
  <si>
    <t>Total Inventory Value</t>
  </si>
  <si>
    <t>Products to Reorder</t>
  </si>
  <si>
    <t>Out of Stock Products</t>
  </si>
  <si>
    <t>In-Stock Products</t>
  </si>
  <si>
    <t>Row Labels</t>
  </si>
  <si>
    <t>Grand Total</t>
  </si>
  <si>
    <t>Sum of StockValue</t>
  </si>
  <si>
    <t>Sum of StockOnHand</t>
  </si>
  <si>
    <t>Reorder</t>
  </si>
  <si>
    <t>PRODUCTS REQUIRING REORDER</t>
  </si>
  <si>
    <t>M042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</si>
</sst>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  <font>
      <b/>
      <sz val="22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4" borderId="0" xfId="0" applyFill="1"/>
    <xf numFmtId="0" fontId="6" fillId="4" borderId="0" xfId="0" applyFont="1" applyFill="1"/>
    <xf numFmtId="0" fontId="4" fillId="4" borderId="0" xfId="0" applyFont="1" applyFill="1"/>
    <xf numFmtId="0" fontId="2" fillId="4" borderId="0" xfId="0" applyFont="1" applyFill="1"/>
    <xf numFmtId="0" fontId="0" fillId="5" borderId="0" xfId="0" applyFill="1"/>
    <xf numFmtId="0" fontId="3" fillId="5" borderId="0" xfId="0" applyFont="1" applyFill="1"/>
    <xf numFmtId="0" fontId="5" fillId="5" borderId="0" xfId="0" applyFont="1" applyFill="1"/>
    <xf numFmtId="0" fontId="7" fillId="5" borderId="0" xfId="0" applyFont="1" applyFill="1"/>
    <xf numFmtId="44" fontId="7" fillId="5" borderId="0" xfId="1" applyNumberFormat="1" applyFont="1" applyFill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Currency" xfId="1" builtinId="4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[Inventory_Management_System.xlsx]CategoryAnalysis!PivotTable1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Inventory Value by Category</a:t>
            </a:r>
            <a:endParaRPr lang="en-US"/>
          </a:p>
        </c:rich>
      </c:tx>
      <c:layout>
        <c:manualLayout>
          <c:xMode val="edge"/>
          <c:yMode val="edge"/>
          <c:x val="0.26209329577928081"/>
          <c:y val="8.4530384830742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CategoryAnalysis!$A$4:$A$9</c:f>
              <c:strCache>
                <c:ptCount val="5"/>
                <c:pt idx="0">
                  <c:v>Accessories</c:v>
                </c:pt>
                <c:pt idx="1">
                  <c:v>Bags</c:v>
                </c:pt>
                <c:pt idx="2">
                  <c:v>Electronics</c:v>
                </c:pt>
                <c:pt idx="3">
                  <c:v>Office Equipment</c:v>
                </c:pt>
                <c:pt idx="4">
                  <c:v>Storage</c:v>
                </c:pt>
              </c:strCache>
            </c:strRef>
          </c:cat>
          <c:val>
            <c:numRef>
              <c:f>CategoryAnalysis!$B$4:$B$9</c:f>
              <c:numCache>
                <c:formatCode>General</c:formatCode>
                <c:ptCount val="5"/>
                <c:pt idx="0">
                  <c:v>971500</c:v>
                </c:pt>
                <c:pt idx="1">
                  <c:v>336000</c:v>
                </c:pt>
                <c:pt idx="2">
                  <c:v>1271000</c:v>
                </c:pt>
                <c:pt idx="3">
                  <c:v>72000</c:v>
                </c:pt>
                <c:pt idx="4">
                  <c:v>912000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B-411F-88E0-AEDF0B89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221903"/>
        <c:axId val="1751187359"/>
      </c:barChart>
      <c:catAx>
        <c:axId val="181822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87359"/>
        <c:crosses val="autoZero"/>
        <c:auto val="1"/>
        <c:lblAlgn val="ctr"/>
        <c:lblOffset val="100"/>
        <c:noMultiLvlLbl val="0"/>
      </c:catAx>
      <c:valAx>
        <c:axId val="175118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2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[Inventory_Management_System.xlsx]total stock on hand 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Stock on Hand by Product</a:t>
            </a:r>
            <a:endParaRPr lang="en-US"/>
          </a:p>
        </c:rich>
      </c:tx>
      <c:layout>
        <c:manualLayout>
          <c:xMode val="edge"/>
          <c:yMode val="edge"/>
          <c:x val="0.27724757643245973"/>
          <c:y val="7.929986876640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stock on hand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stock on hand '!$A$4:$A$16</c:f>
              <c:strCache>
                <c:ptCount val="12"/>
                <c:pt idx="0">
                  <c:v>27-inch Monitor</c:v>
                </c:pt>
                <c:pt idx="1">
                  <c:v>External SSD 1TB</c:v>
                </c:pt>
                <c:pt idx="2">
                  <c:v>Headphones</c:v>
                </c:pt>
                <c:pt idx="3">
                  <c:v>Laptop Backpack</c:v>
                </c:pt>
                <c:pt idx="4">
                  <c:v>Laptop Stand</c:v>
                </c:pt>
                <c:pt idx="5">
                  <c:v>Mechanical Keyboard</c:v>
                </c:pt>
                <c:pt idx="6">
                  <c:v>Power Bank</c:v>
                </c:pt>
                <c:pt idx="7">
                  <c:v>USB Flash Drive 64GB</c:v>
                </c:pt>
                <c:pt idx="8">
                  <c:v>USB-C Hub</c:v>
                </c:pt>
                <c:pt idx="9">
                  <c:v>Webcam</c:v>
                </c:pt>
                <c:pt idx="10">
                  <c:v>Wireless Keyboard</c:v>
                </c:pt>
                <c:pt idx="11">
                  <c:v>Wireless Mouse</c:v>
                </c:pt>
              </c:strCache>
            </c:strRef>
          </c:cat>
          <c:val>
            <c:numRef>
              <c:f>'total stock on hand '!$B$4:$B$16</c:f>
              <c:numCache>
                <c:formatCode>General</c:formatCode>
                <c:ptCount val="12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16</c:v>
                </c:pt>
                <c:pt idx="4">
                  <c:v>4</c:v>
                </c:pt>
                <c:pt idx="5">
                  <c:v>23</c:v>
                </c:pt>
                <c:pt idx="6">
                  <c:v>10</c:v>
                </c:pt>
                <c:pt idx="7">
                  <c:v>28</c:v>
                </c:pt>
                <c:pt idx="8">
                  <c:v>12</c:v>
                </c:pt>
                <c:pt idx="9">
                  <c:v>15</c:v>
                </c:pt>
                <c:pt idx="10">
                  <c:v>6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0-4C16-8BE4-37BB9953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7521951"/>
        <c:axId val="1872122751"/>
      </c:barChart>
      <c:catAx>
        <c:axId val="1817521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22751"/>
        <c:crosses val="autoZero"/>
        <c:auto val="1"/>
        <c:lblAlgn val="ctr"/>
        <c:lblOffset val="100"/>
        <c:noMultiLvlLbl val="0"/>
      </c:catAx>
      <c:valAx>
        <c:axId val="1872122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2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3</xdr:col>
      <xdr:colOff>323850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B1986-4424-FA10-1190-B8EC1383E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7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E1CBF48-61BD-1C3B-047F-C8A93735D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322.278955902781" createdVersion="8" refreshedVersion="8" minRefreshableVersion="3" recordCount="12" xr:uid="{11373B07-8206-4C12-9948-DF9371F61681}">
  <cacheSource type="worksheet">
    <worksheetSource name="tblInventory"/>
  </cacheSource>
  <cacheFields count="8">
    <cacheField name="ProductID" numFmtId="0">
      <sharedItems/>
    </cacheField>
    <cacheField name="ProductName" numFmtId="0">
      <sharedItems count="12">
        <s v="Wireless Mouse"/>
        <s v="Mechanical Keyboard"/>
        <s v="USB-C Hub"/>
        <s v="Laptop Stand"/>
        <s v="27-inch Monitor"/>
        <s v="Webcam"/>
        <s v="Headphones"/>
        <s v="Laptop Backpack"/>
        <s v="USB Flash Drive 64GB"/>
        <s v="External SSD 1TB"/>
        <s v="Wireless Keyboard"/>
        <s v="Power Bank"/>
      </sharedItems>
    </cacheField>
    <cacheField name="Category" numFmtId="0">
      <sharedItems count="5">
        <s v="Accessories"/>
        <s v="Office Equipment"/>
        <s v="Electronics"/>
        <s v="Bags"/>
        <s v="Storage"/>
      </sharedItems>
    </cacheField>
    <cacheField name="UnitCost" numFmtId="0">
      <sharedItems containsSemiMixedTypes="0" containsString="0" containsNumber="1" containsInteger="1" minValue="7500" maxValue="95000"/>
    </cacheField>
    <cacheField name="StockOnHand" numFmtId="0">
      <sharedItems containsSemiMixedTypes="0" containsString="0" containsNumber="1" containsInteger="1" minValue="4" maxValue="28"/>
    </cacheField>
    <cacheField name="StockValue" numFmtId="0">
      <sharedItems containsSemiMixedTypes="0" containsString="0" containsNumber="1" containsInteger="1" minValue="72000" maxValue="702000"/>
    </cacheField>
    <cacheField name="ReorderLevel" numFmtId="0">
      <sharedItems containsSemiMixedTypes="0" containsString="0" containsNumber="1" containsInteger="1" minValue="4" maxValue="15"/>
    </cacheField>
    <cacheField name="Stock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P001"/>
    <x v="0"/>
    <x v="0"/>
    <n v="8500"/>
    <n v="23"/>
    <n v="195500"/>
    <n v="10"/>
    <s v="In stock"/>
  </r>
  <r>
    <s v="P002"/>
    <x v="1"/>
    <x v="0"/>
    <n v="22000"/>
    <n v="23"/>
    <n v="506000"/>
    <n v="5"/>
    <s v="In stock"/>
  </r>
  <r>
    <s v="P003"/>
    <x v="2"/>
    <x v="0"/>
    <n v="14500"/>
    <n v="12"/>
    <n v="174000"/>
    <n v="8"/>
    <s v="In stock"/>
  </r>
  <r>
    <s v="P004"/>
    <x v="3"/>
    <x v="1"/>
    <n v="18000"/>
    <n v="4"/>
    <n v="72000"/>
    <n v="5"/>
    <s v="Reorder"/>
  </r>
  <r>
    <s v="P005"/>
    <x v="4"/>
    <x v="2"/>
    <n v="95000"/>
    <n v="4"/>
    <n v="380000"/>
    <n v="4"/>
    <s v="Reorder"/>
  </r>
  <r>
    <s v="P006"/>
    <x v="5"/>
    <x v="2"/>
    <n v="32000"/>
    <n v="15"/>
    <n v="480000"/>
    <n v="6"/>
    <s v="In stock"/>
  </r>
  <r>
    <s v="P007"/>
    <x v="6"/>
    <x v="2"/>
    <n v="27000"/>
    <n v="8"/>
    <n v="216000"/>
    <n v="8"/>
    <s v="Reorder"/>
  </r>
  <r>
    <s v="P008"/>
    <x v="7"/>
    <x v="3"/>
    <n v="21000"/>
    <n v="16"/>
    <n v="336000"/>
    <n v="5"/>
    <s v="In stock"/>
  </r>
  <r>
    <s v="P009"/>
    <x v="8"/>
    <x v="4"/>
    <n v="7500"/>
    <n v="28"/>
    <n v="210000"/>
    <n v="15"/>
    <s v="In stock"/>
  </r>
  <r>
    <s v="P010"/>
    <x v="9"/>
    <x v="4"/>
    <n v="78000"/>
    <n v="9"/>
    <n v="702000"/>
    <n v="4"/>
    <s v="In stock"/>
  </r>
  <r>
    <s v="P011"/>
    <x v="10"/>
    <x v="0"/>
    <n v="16000"/>
    <n v="6"/>
    <n v="96000"/>
    <n v="7"/>
    <s v="Reorder"/>
  </r>
  <r>
    <s v="P012"/>
    <x v="11"/>
    <x v="2"/>
    <n v="19500"/>
    <n v="10"/>
    <n v="195000"/>
    <n v="10"/>
    <s v="Reord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6BFE8-89C4-4A2D-A452-4D1258F1A4A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8"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Value" fld="5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154ADC-496E-43FE-AE57-1173BCC6FF15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8">
    <pivotField showAll="0"/>
    <pivotField axis="axisRow" showAll="0">
      <items count="13">
        <item x="4"/>
        <item x="9"/>
        <item x="6"/>
        <item x="7"/>
        <item x="3"/>
        <item x="1"/>
        <item x="11"/>
        <item x="8"/>
        <item x="2"/>
        <item x="5"/>
        <item x="10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tockOnHand" fld="4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6E5D7F-59DE-4F32-90B4-7E31D5389C41}" name="tblProducts" displayName="tblProducts" ref="A1:F13" totalsRowShown="0">
  <autoFilter ref="A1:F13" xr:uid="{CA6E5D7F-59DE-4F32-90B4-7E31D5389C41}"/>
  <tableColumns count="6">
    <tableColumn id="1" xr3:uid="{884D8979-561E-4EDB-A06E-1E1590A8976F}" name="ProductID"/>
    <tableColumn id="2" xr3:uid="{3FBBFB46-5E9E-45D5-A0B0-4E738A937221}" name="ProductName"/>
    <tableColumn id="3" xr3:uid="{F3C86A69-DD4B-4825-BE6F-8552A330C8ED}" name="Category"/>
    <tableColumn id="4" xr3:uid="{B555881F-99CD-475C-BD69-B1B19EC218D6}" name="SupplierID"/>
    <tableColumn id="5" xr3:uid="{1D0754AD-C2D3-4213-ABE0-E5A66F8F7AAD}" name="UnitCost"/>
    <tableColumn id="6" xr3:uid="{CDC5A5EA-48A9-4ADE-91C9-73F6F7D87915}" name="Reorder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65FEF6-2BB7-40D8-9A62-924013739CF4}" name="tblMovements" displayName="tblMovements" ref="A1:E43" totalsRowShown="0">
  <autoFilter ref="A1:E43" xr:uid="{EA65FEF6-2BB7-40D8-9A62-924013739CF4}"/>
  <tableColumns count="5">
    <tableColumn id="1" xr3:uid="{21CEC0B5-1460-4BC9-A9C3-989EF0DF46A3}" name="MovementID"/>
    <tableColumn id="2" xr3:uid="{F11148F3-9376-4FC6-BD3F-B462C38C99AF}" name="Date"/>
    <tableColumn id="3" xr3:uid="{0E883CEE-8F98-45BB-9E13-D6ABBEB8B07F}" name="ProductID"/>
    <tableColumn id="4" xr3:uid="{11805998-593E-410E-91C6-41FE74912156}" name="MovementType"/>
    <tableColumn id="5" xr3:uid="{58D19336-DFD4-4352-8AAE-32929946D54F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A83380-8B04-4A20-B463-97694CD39D22}" name="tblInventory" displayName="tblInventory" ref="A1:H13" totalsRowShown="0">
  <autoFilter ref="A1:H13" xr:uid="{9FA83380-8B04-4A20-B463-97694CD39D22}"/>
  <tableColumns count="8">
    <tableColumn id="1" xr3:uid="{2BD47016-535A-46AE-8D9E-DD3F6C80A0AA}" name="ProductID">
      <calculatedColumnFormula>tblProducts[[#This Row],[ProductID]]</calculatedColumnFormula>
    </tableColumn>
    <tableColumn id="2" xr3:uid="{75FB4ED0-D440-4064-BFD4-D052FD7B3BFF}" name="ProductName" dataDxfId="8">
      <calculatedColumnFormula>_xlfn.XLOOKUP(tblInventory[[#This Row],[ProductID]],tblProducts[[#This Row],[ProductID]],tblProducts[[#This Row],[ProductName]],,0)</calculatedColumnFormula>
    </tableColumn>
    <tableColumn id="3" xr3:uid="{E157B47B-E13D-4D8E-88B7-3809D4718FC4}" name="Category" dataDxfId="7">
      <calculatedColumnFormula>_xlfn.XLOOKUP(tblInventory[[#This Row],[ProductID]],tblProducts[[#This Row],[ProductID]],tblProducts[[#This Row],[Category]],,0)</calculatedColumnFormula>
    </tableColumn>
    <tableColumn id="4" xr3:uid="{60F141F8-9413-4925-9045-01DB5843126F}" name="UnitCost" dataDxfId="6">
      <calculatedColumnFormula>_xlfn.XLOOKUP(tblInventory[[#This Row],[ProductID]],tblProducts[[#This Row],[ProductID]],tblProducts[[#This Row],[UnitCost]],,0)</calculatedColumnFormula>
    </tableColumn>
    <tableColumn id="5" xr3:uid="{17E6DC8F-BE4E-4518-98DA-FB4AD7AD107E}" name="StockOnHand" dataDxfId="5">
      <calculatedColumnFormula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calculatedColumnFormula>
    </tableColumn>
    <tableColumn id="6" xr3:uid="{CEB366AB-981E-4D47-A3A6-14F297201168}" name="StockValue" dataDxfId="4">
      <calculatedColumnFormula>tblInventory[[#This Row],[UnitCost]]*tblInventory[[#This Row],[StockOnHand]]</calculatedColumnFormula>
    </tableColumn>
    <tableColumn id="7" xr3:uid="{B54F4806-2E26-4896-A37C-576931FA057D}" name="ReorderLevel" dataDxfId="3">
      <calculatedColumnFormula>_xlfn.XLOOKUP(tblInventory[[#This Row],[ProductID]],tblProducts[[#This Row],[ProductID]],tblProducts[[#This Row],[ReorderLevel]],,)</calculatedColumnFormula>
    </tableColumn>
    <tableColumn id="8" xr3:uid="{780CB891-53B0-41CD-A838-1CEA3236A714}" name="StockStatus" dataDxfId="2">
      <calculatedColumnFormula>IF(tblInventory[[#This Row],[StockOnHand]]&lt;=0,"Out of stock", IF(tblInventory[[#This Row],[StockOnHand]]&lt;=tblInventory[[#This Row],[ReorderLevel]],"Reorder", "In stock"))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AB6A-60E4-4333-B696-B0CEDFC6CF77}">
  <dimension ref="A1:F13"/>
  <sheetViews>
    <sheetView workbookViewId="0">
      <selection activeCell="D7" sqref="D7"/>
    </sheetView>
  </sheetViews>
  <sheetFormatPr defaultRowHeight="15"/>
  <cols>
    <col min="1" max="5" width="11" customWidth="1"/>
    <col min="6" max="6" width="17.140625" customWidth="1"/>
    <col min="7" max="7" width="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8500</v>
      </c>
      <c r="F2">
        <v>10</v>
      </c>
    </row>
    <row r="3" spans="1:6">
      <c r="A3" t="s">
        <v>10</v>
      </c>
      <c r="B3" t="s">
        <v>11</v>
      </c>
      <c r="C3" t="s">
        <v>8</v>
      </c>
      <c r="D3" t="s">
        <v>12</v>
      </c>
      <c r="E3">
        <v>22000</v>
      </c>
      <c r="F3">
        <v>5</v>
      </c>
    </row>
    <row r="4" spans="1:6">
      <c r="A4" t="s">
        <v>13</v>
      </c>
      <c r="B4" t="s">
        <v>14</v>
      </c>
      <c r="C4" t="s">
        <v>8</v>
      </c>
      <c r="D4" t="s">
        <v>9</v>
      </c>
      <c r="E4">
        <v>14500</v>
      </c>
      <c r="F4">
        <v>8</v>
      </c>
    </row>
    <row r="5" spans="1:6">
      <c r="A5" t="s">
        <v>15</v>
      </c>
      <c r="B5" t="s">
        <v>16</v>
      </c>
      <c r="C5" t="s">
        <v>17</v>
      </c>
      <c r="D5" t="s">
        <v>18</v>
      </c>
      <c r="E5">
        <v>18000</v>
      </c>
      <c r="F5">
        <v>5</v>
      </c>
    </row>
    <row r="6" spans="1:6">
      <c r="A6" t="s">
        <v>19</v>
      </c>
      <c r="B6" t="s">
        <v>20</v>
      </c>
      <c r="C6" t="s">
        <v>21</v>
      </c>
      <c r="D6" t="s">
        <v>22</v>
      </c>
      <c r="E6">
        <v>95000</v>
      </c>
      <c r="F6">
        <v>4</v>
      </c>
    </row>
    <row r="7" spans="1:6" ht="18" customHeight="1">
      <c r="A7" t="s">
        <v>23</v>
      </c>
      <c r="B7" t="s">
        <v>24</v>
      </c>
      <c r="C7" t="s">
        <v>21</v>
      </c>
      <c r="D7" t="s">
        <v>12</v>
      </c>
      <c r="E7">
        <v>32000</v>
      </c>
      <c r="F7">
        <v>6</v>
      </c>
    </row>
    <row r="8" spans="1:6">
      <c r="A8" t="s">
        <v>25</v>
      </c>
      <c r="B8" t="s">
        <v>26</v>
      </c>
      <c r="C8" t="s">
        <v>21</v>
      </c>
      <c r="D8" t="s">
        <v>22</v>
      </c>
      <c r="E8">
        <v>27000</v>
      </c>
      <c r="F8">
        <v>8</v>
      </c>
    </row>
    <row r="9" spans="1:6">
      <c r="A9" t="s">
        <v>27</v>
      </c>
      <c r="B9" t="s">
        <v>28</v>
      </c>
      <c r="C9" t="s">
        <v>29</v>
      </c>
      <c r="D9" t="s">
        <v>18</v>
      </c>
      <c r="E9">
        <v>21000</v>
      </c>
      <c r="F9">
        <v>5</v>
      </c>
    </row>
    <row r="10" spans="1:6">
      <c r="A10" t="s">
        <v>30</v>
      </c>
      <c r="B10" t="s">
        <v>31</v>
      </c>
      <c r="C10" t="s">
        <v>32</v>
      </c>
      <c r="D10" t="s">
        <v>9</v>
      </c>
      <c r="E10">
        <v>7500</v>
      </c>
      <c r="F10">
        <v>15</v>
      </c>
    </row>
    <row r="11" spans="1:6">
      <c r="A11" t="s">
        <v>33</v>
      </c>
      <c r="B11" t="s">
        <v>34</v>
      </c>
      <c r="C11" t="s">
        <v>32</v>
      </c>
      <c r="D11" t="s">
        <v>22</v>
      </c>
      <c r="E11">
        <v>78000</v>
      </c>
      <c r="F11">
        <v>4</v>
      </c>
    </row>
    <row r="12" spans="1:6">
      <c r="A12" t="s">
        <v>35</v>
      </c>
      <c r="B12" t="s">
        <v>36</v>
      </c>
      <c r="C12" t="s">
        <v>8</v>
      </c>
      <c r="D12" t="s">
        <v>12</v>
      </c>
      <c r="E12">
        <v>16000</v>
      </c>
      <c r="F12">
        <v>7</v>
      </c>
    </row>
    <row r="13" spans="1:6">
      <c r="A13" t="s">
        <v>37</v>
      </c>
      <c r="B13" t="s">
        <v>38</v>
      </c>
      <c r="C13" t="s">
        <v>21</v>
      </c>
      <c r="D13" t="s">
        <v>18</v>
      </c>
      <c r="E13">
        <v>19500</v>
      </c>
      <c r="F13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A2D5-ECF3-47C8-A8A9-E4FE1033019E}">
  <dimension ref="A1:E43"/>
  <sheetViews>
    <sheetView topLeftCell="A25" workbookViewId="0">
      <selection activeCell="G41" sqref="G41"/>
    </sheetView>
  </sheetViews>
  <sheetFormatPr defaultRowHeight="15"/>
  <cols>
    <col min="1" max="5" width="11" customWidth="1"/>
  </cols>
  <sheetData>
    <row r="1" spans="1:5">
      <c r="A1" t="s">
        <v>39</v>
      </c>
      <c r="B1" t="s">
        <v>40</v>
      </c>
      <c r="C1" t="s">
        <v>0</v>
      </c>
      <c r="D1" t="s">
        <v>41</v>
      </c>
      <c r="E1" t="s">
        <v>42</v>
      </c>
    </row>
    <row r="2" spans="1:5">
      <c r="A2" t="s">
        <v>43</v>
      </c>
      <c r="B2" s="10">
        <v>46266</v>
      </c>
      <c r="C2" t="s">
        <v>6</v>
      </c>
      <c r="D2" t="s">
        <v>44</v>
      </c>
      <c r="E2">
        <v>50</v>
      </c>
    </row>
    <row r="3" spans="1:5">
      <c r="A3" t="s">
        <v>45</v>
      </c>
      <c r="B3" s="10">
        <v>46267</v>
      </c>
      <c r="C3" t="s">
        <v>6</v>
      </c>
      <c r="D3" t="s">
        <v>46</v>
      </c>
      <c r="E3">
        <v>12</v>
      </c>
    </row>
    <row r="4" spans="1:5">
      <c r="A4" t="s">
        <v>47</v>
      </c>
      <c r="B4" s="10">
        <v>46269</v>
      </c>
      <c r="C4" t="s">
        <v>6</v>
      </c>
      <c r="D4" t="s">
        <v>46</v>
      </c>
      <c r="E4">
        <v>8</v>
      </c>
    </row>
    <row r="5" spans="1:5">
      <c r="A5" t="s">
        <v>48</v>
      </c>
      <c r="B5" s="10">
        <v>46270</v>
      </c>
      <c r="C5" t="s">
        <v>10</v>
      </c>
      <c r="D5" t="s">
        <v>44</v>
      </c>
      <c r="E5">
        <v>20</v>
      </c>
    </row>
    <row r="6" spans="1:5">
      <c r="A6" t="s">
        <v>49</v>
      </c>
      <c r="B6" s="10">
        <v>46271</v>
      </c>
      <c r="C6" t="s">
        <v>10</v>
      </c>
      <c r="D6" t="s">
        <v>46</v>
      </c>
      <c r="E6">
        <v>7</v>
      </c>
    </row>
    <row r="7" spans="1:5">
      <c r="A7" t="s">
        <v>50</v>
      </c>
      <c r="B7" s="10">
        <v>46273</v>
      </c>
      <c r="C7" t="s">
        <v>13</v>
      </c>
      <c r="D7" t="s">
        <v>44</v>
      </c>
      <c r="E7">
        <v>30</v>
      </c>
    </row>
    <row r="8" spans="1:5">
      <c r="A8" t="s">
        <v>51</v>
      </c>
      <c r="B8" s="10">
        <v>46274</v>
      </c>
      <c r="C8" t="s">
        <v>13</v>
      </c>
      <c r="D8" t="s">
        <v>46</v>
      </c>
      <c r="E8">
        <v>10</v>
      </c>
    </row>
    <row r="9" spans="1:5">
      <c r="A9" t="s">
        <v>52</v>
      </c>
      <c r="B9" s="10">
        <v>46275</v>
      </c>
      <c r="C9" t="s">
        <v>15</v>
      </c>
      <c r="D9" t="s">
        <v>44</v>
      </c>
      <c r="E9">
        <v>15</v>
      </c>
    </row>
    <row r="10" spans="1:5">
      <c r="A10" t="s">
        <v>53</v>
      </c>
      <c r="B10" s="10">
        <v>46276</v>
      </c>
      <c r="C10" t="s">
        <v>15</v>
      </c>
      <c r="D10" t="s">
        <v>46</v>
      </c>
      <c r="E10">
        <v>6</v>
      </c>
    </row>
    <row r="11" spans="1:5">
      <c r="A11" t="s">
        <v>54</v>
      </c>
      <c r="B11" s="10">
        <v>46277</v>
      </c>
      <c r="C11" t="s">
        <v>19</v>
      </c>
      <c r="D11" t="s">
        <v>44</v>
      </c>
      <c r="E11">
        <v>12</v>
      </c>
    </row>
    <row r="12" spans="1:5">
      <c r="A12" t="s">
        <v>55</v>
      </c>
      <c r="B12" s="10">
        <v>46278</v>
      </c>
      <c r="C12" t="s">
        <v>19</v>
      </c>
      <c r="D12" t="s">
        <v>46</v>
      </c>
      <c r="E12">
        <v>5</v>
      </c>
    </row>
    <row r="13" spans="1:5">
      <c r="A13" t="s">
        <v>56</v>
      </c>
      <c r="B13" s="10">
        <v>46279</v>
      </c>
      <c r="C13" t="s">
        <v>23</v>
      </c>
      <c r="D13" t="s">
        <v>44</v>
      </c>
      <c r="E13">
        <v>18</v>
      </c>
    </row>
    <row r="14" spans="1:5">
      <c r="A14" t="s">
        <v>57</v>
      </c>
      <c r="B14" s="10">
        <v>46280</v>
      </c>
      <c r="C14" t="s">
        <v>23</v>
      </c>
      <c r="D14" t="s">
        <v>46</v>
      </c>
      <c r="E14">
        <v>8</v>
      </c>
    </row>
    <row r="15" spans="1:5">
      <c r="A15" t="s">
        <v>58</v>
      </c>
      <c r="B15" s="10">
        <v>46281</v>
      </c>
      <c r="C15" t="s">
        <v>25</v>
      </c>
      <c r="D15" t="s">
        <v>44</v>
      </c>
      <c r="E15">
        <v>25</v>
      </c>
    </row>
    <row r="16" spans="1:5">
      <c r="A16" t="s">
        <v>59</v>
      </c>
      <c r="B16" s="10">
        <v>46282</v>
      </c>
      <c r="C16" t="s">
        <v>25</v>
      </c>
      <c r="D16" t="s">
        <v>46</v>
      </c>
      <c r="E16">
        <v>12</v>
      </c>
    </row>
    <row r="17" spans="1:5">
      <c r="A17" t="s">
        <v>60</v>
      </c>
      <c r="B17" s="10">
        <v>46283</v>
      </c>
      <c r="C17" t="s">
        <v>27</v>
      </c>
      <c r="D17" t="s">
        <v>44</v>
      </c>
      <c r="E17">
        <v>20</v>
      </c>
    </row>
    <row r="18" spans="1:5">
      <c r="A18" t="s">
        <v>61</v>
      </c>
      <c r="B18" s="10">
        <v>46284</v>
      </c>
      <c r="C18" t="s">
        <v>27</v>
      </c>
      <c r="D18" t="s">
        <v>46</v>
      </c>
      <c r="E18">
        <v>9</v>
      </c>
    </row>
    <row r="19" spans="1:5">
      <c r="A19" t="s">
        <v>62</v>
      </c>
      <c r="B19" s="10">
        <v>46285</v>
      </c>
      <c r="C19" t="s">
        <v>30</v>
      </c>
      <c r="D19" t="s">
        <v>44</v>
      </c>
      <c r="E19">
        <v>60</v>
      </c>
    </row>
    <row r="20" spans="1:5">
      <c r="A20" t="s">
        <v>63</v>
      </c>
      <c r="B20" s="10">
        <v>46286</v>
      </c>
      <c r="C20" t="s">
        <v>30</v>
      </c>
      <c r="D20" t="s">
        <v>46</v>
      </c>
      <c r="E20">
        <v>20</v>
      </c>
    </row>
    <row r="21" spans="1:5">
      <c r="A21" t="s">
        <v>64</v>
      </c>
      <c r="B21" s="10">
        <v>46287</v>
      </c>
      <c r="C21" t="s">
        <v>33</v>
      </c>
      <c r="D21" t="s">
        <v>44</v>
      </c>
      <c r="E21">
        <v>10</v>
      </c>
    </row>
    <row r="22" spans="1:5">
      <c r="A22" t="s">
        <v>65</v>
      </c>
      <c r="B22" s="10">
        <v>46288</v>
      </c>
      <c r="C22" t="s">
        <v>33</v>
      </c>
      <c r="D22" t="s">
        <v>46</v>
      </c>
      <c r="E22">
        <v>4</v>
      </c>
    </row>
    <row r="23" spans="1:5">
      <c r="A23" t="s">
        <v>66</v>
      </c>
      <c r="B23" s="10">
        <v>46289</v>
      </c>
      <c r="C23" t="s">
        <v>35</v>
      </c>
      <c r="D23" t="s">
        <v>44</v>
      </c>
      <c r="E23">
        <v>25</v>
      </c>
    </row>
    <row r="24" spans="1:5">
      <c r="A24" t="s">
        <v>67</v>
      </c>
      <c r="B24" s="10">
        <v>46290</v>
      </c>
      <c r="C24" t="s">
        <v>35</v>
      </c>
      <c r="D24" t="s">
        <v>46</v>
      </c>
      <c r="E24">
        <v>11</v>
      </c>
    </row>
    <row r="25" spans="1:5">
      <c r="A25" t="s">
        <v>68</v>
      </c>
      <c r="B25" s="10">
        <v>46291</v>
      </c>
      <c r="C25" t="s">
        <v>37</v>
      </c>
      <c r="D25" t="s">
        <v>44</v>
      </c>
      <c r="E25">
        <v>30</v>
      </c>
    </row>
    <row r="26" spans="1:5">
      <c r="A26" t="s">
        <v>69</v>
      </c>
      <c r="B26" s="10">
        <v>46292</v>
      </c>
      <c r="C26" t="s">
        <v>37</v>
      </c>
      <c r="D26" t="s">
        <v>46</v>
      </c>
      <c r="E26">
        <v>13</v>
      </c>
    </row>
    <row r="27" spans="1:5">
      <c r="A27" t="s">
        <v>70</v>
      </c>
      <c r="B27" s="10">
        <v>46293</v>
      </c>
      <c r="C27" t="s">
        <v>6</v>
      </c>
      <c r="D27" t="s">
        <v>71</v>
      </c>
      <c r="E27">
        <v>-2</v>
      </c>
    </row>
    <row r="28" spans="1:5">
      <c r="A28" t="s">
        <v>72</v>
      </c>
      <c r="B28" s="10">
        <v>46293</v>
      </c>
      <c r="C28" t="s">
        <v>13</v>
      </c>
      <c r="D28" t="s">
        <v>46</v>
      </c>
      <c r="E28">
        <v>8</v>
      </c>
    </row>
    <row r="29" spans="1:5">
      <c r="A29" t="s">
        <v>73</v>
      </c>
      <c r="B29" s="10">
        <v>46294</v>
      </c>
      <c r="C29" t="s">
        <v>19</v>
      </c>
      <c r="D29" t="s">
        <v>46</v>
      </c>
      <c r="E29">
        <v>2</v>
      </c>
    </row>
    <row r="30" spans="1:5">
      <c r="A30" t="s">
        <v>74</v>
      </c>
      <c r="B30" s="10">
        <v>46294</v>
      </c>
      <c r="C30" t="s">
        <v>23</v>
      </c>
      <c r="D30" t="s">
        <v>44</v>
      </c>
      <c r="E30">
        <v>5</v>
      </c>
    </row>
    <row r="31" spans="1:5">
      <c r="A31" t="s">
        <v>75</v>
      </c>
      <c r="B31" s="10">
        <v>46295</v>
      </c>
      <c r="C31" t="s">
        <v>25</v>
      </c>
      <c r="D31" t="s">
        <v>46</v>
      </c>
      <c r="E31">
        <v>4</v>
      </c>
    </row>
    <row r="32" spans="1:5">
      <c r="A32" t="s">
        <v>76</v>
      </c>
      <c r="B32" s="10">
        <v>46296</v>
      </c>
      <c r="C32" t="s">
        <v>10</v>
      </c>
      <c r="D32" t="s">
        <v>44</v>
      </c>
      <c r="E32">
        <v>10</v>
      </c>
    </row>
    <row r="33" spans="1:5">
      <c r="A33" t="s">
        <v>77</v>
      </c>
      <c r="B33" s="10">
        <v>46297</v>
      </c>
      <c r="C33" t="s">
        <v>15</v>
      </c>
      <c r="D33" t="s">
        <v>46</v>
      </c>
      <c r="E33">
        <v>3</v>
      </c>
    </row>
    <row r="34" spans="1:5">
      <c r="A34" t="s">
        <v>78</v>
      </c>
      <c r="B34" s="10">
        <v>46298</v>
      </c>
      <c r="C34" t="s">
        <v>27</v>
      </c>
      <c r="D34" t="s">
        <v>44</v>
      </c>
      <c r="E34">
        <v>5</v>
      </c>
    </row>
    <row r="35" spans="1:5">
      <c r="A35" t="s">
        <v>79</v>
      </c>
      <c r="B35" s="10">
        <v>46299</v>
      </c>
      <c r="C35" t="s">
        <v>30</v>
      </c>
      <c r="D35" t="s">
        <v>46</v>
      </c>
      <c r="E35">
        <v>12</v>
      </c>
    </row>
    <row r="36" spans="1:5">
      <c r="A36" t="s">
        <v>80</v>
      </c>
      <c r="B36" s="10">
        <v>46300</v>
      </c>
      <c r="C36" t="s">
        <v>33</v>
      </c>
      <c r="D36" t="s">
        <v>44</v>
      </c>
      <c r="E36">
        <v>3</v>
      </c>
    </row>
    <row r="37" spans="1:5">
      <c r="A37" t="s">
        <v>81</v>
      </c>
      <c r="B37" s="10">
        <v>46301</v>
      </c>
      <c r="C37" t="s">
        <v>37</v>
      </c>
      <c r="D37" t="s">
        <v>71</v>
      </c>
      <c r="E37">
        <v>-2</v>
      </c>
    </row>
    <row r="38" spans="1:5">
      <c r="A38" t="s">
        <v>85</v>
      </c>
      <c r="B38" s="10">
        <v>46302</v>
      </c>
      <c r="C38" t="s">
        <v>15</v>
      </c>
      <c r="D38" t="s">
        <v>46</v>
      </c>
      <c r="E38">
        <v>2</v>
      </c>
    </row>
    <row r="39" spans="1:5">
      <c r="A39" t="s">
        <v>86</v>
      </c>
      <c r="B39" s="10">
        <v>46302</v>
      </c>
      <c r="C39" t="s">
        <v>19</v>
      </c>
      <c r="D39" t="s">
        <v>46</v>
      </c>
      <c r="E39">
        <v>1</v>
      </c>
    </row>
    <row r="40" spans="1:5">
      <c r="A40" t="s">
        <v>87</v>
      </c>
      <c r="B40" s="10">
        <v>46303</v>
      </c>
      <c r="C40" t="s">
        <v>25</v>
      </c>
      <c r="D40" t="s">
        <v>46</v>
      </c>
      <c r="E40">
        <v>1</v>
      </c>
    </row>
    <row r="41" spans="1:5">
      <c r="A41" t="s">
        <v>88</v>
      </c>
      <c r="B41" s="10">
        <v>46303</v>
      </c>
      <c r="C41" t="s">
        <v>35</v>
      </c>
      <c r="D41" t="s">
        <v>46</v>
      </c>
      <c r="E41">
        <v>8</v>
      </c>
    </row>
    <row r="42" spans="1:5">
      <c r="A42" t="s">
        <v>89</v>
      </c>
      <c r="B42" s="10">
        <v>46304</v>
      </c>
      <c r="C42" t="s">
        <v>37</v>
      </c>
      <c r="D42" t="s">
        <v>46</v>
      </c>
      <c r="E42">
        <v>5</v>
      </c>
    </row>
    <row r="43" spans="1:5">
      <c r="A43" s="24" t="s">
        <v>103</v>
      </c>
      <c r="B43" s="25">
        <v>46305</v>
      </c>
      <c r="C43" s="24" t="s">
        <v>6</v>
      </c>
      <c r="D43" s="24" t="s">
        <v>46</v>
      </c>
      <c r="E43" s="24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DEC3-447D-4B79-BD19-3F06F4ECA288}">
  <dimension ref="A1:H14"/>
  <sheetViews>
    <sheetView workbookViewId="0">
      <selection activeCell="E14" sqref="E14"/>
    </sheetView>
  </sheetViews>
  <sheetFormatPr defaultRowHeight="15"/>
  <cols>
    <col min="1" max="4" width="11" customWidth="1"/>
    <col min="5" max="5" width="15" customWidth="1"/>
    <col min="6" max="6" width="15.5703125" customWidth="1"/>
    <col min="7" max="7" width="11" customWidth="1"/>
    <col min="8" max="8" width="12.42578125" customWidth="1"/>
  </cols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82</v>
      </c>
      <c r="F1" t="s">
        <v>83</v>
      </c>
      <c r="G1" t="s">
        <v>5</v>
      </c>
      <c r="H1" t="s">
        <v>84</v>
      </c>
    </row>
    <row r="2" spans="1:8">
      <c r="A2" t="str">
        <f>tblProducts[[#This Row],[ProductID]]</f>
        <v>P001</v>
      </c>
      <c r="B2" t="str">
        <f>_xlfn.XLOOKUP(tblInventory[[#This Row],[ProductID]],tblProducts[[#This Row],[ProductID]],tblProducts[[#This Row],[ProductName]],,0)</f>
        <v>Wireless Mouse</v>
      </c>
      <c r="C2" t="str">
        <f>_xlfn.XLOOKUP(tblInventory[[#This Row],[ProductID]],tblProducts[[#This Row],[ProductID]],tblProducts[[#This Row],[Category]],,0)</f>
        <v>Accessories</v>
      </c>
      <c r="D2">
        <f>_xlfn.XLOOKUP(tblInventory[[#This Row],[ProductID]],tblProducts[[#This Row],[ProductID]],tblProducts[[#This Row],[UnitCost]],,0)</f>
        <v>8500</v>
      </c>
      <c r="E2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23</v>
      </c>
      <c r="F2">
        <f>tblInventory[[#This Row],[UnitCost]]*tblInventory[[#This Row],[StockOnHand]]</f>
        <v>195500</v>
      </c>
      <c r="G2">
        <f>_xlfn.XLOOKUP(tblInventory[[#This Row],[ProductID]],tblProducts[[#This Row],[ProductID]],tblProducts[[#This Row],[ReorderLevel]],,)</f>
        <v>10</v>
      </c>
      <c r="H2" t="str">
        <f>IF(tblInventory[[#This Row],[StockOnHand]]&lt;=0,"Out of stock", IF(tblInventory[[#This Row],[StockOnHand]]&lt;=tblInventory[[#This Row],[ReorderLevel]],"Reorder", "In stock"))</f>
        <v>In stock</v>
      </c>
    </row>
    <row r="3" spans="1:8">
      <c r="A3" t="str">
        <f>tblProducts[[#This Row],[ProductID]]</f>
        <v>P002</v>
      </c>
      <c r="B3" t="str">
        <f>_xlfn.XLOOKUP(tblInventory[[#This Row],[ProductID]],tblProducts[[#This Row],[ProductID]],tblProducts[[#This Row],[ProductName]],,0)</f>
        <v>Mechanical Keyboard</v>
      </c>
      <c r="C3" t="str">
        <f>_xlfn.XLOOKUP(tblInventory[[#This Row],[ProductID]],tblProducts[[#This Row],[ProductID]],tblProducts[[#This Row],[Category]],,0)</f>
        <v>Accessories</v>
      </c>
      <c r="D3">
        <f>_xlfn.XLOOKUP(tblInventory[[#This Row],[ProductID]],tblProducts[[#This Row],[ProductID]],tblProducts[[#This Row],[UnitCost]],,0)</f>
        <v>22000</v>
      </c>
      <c r="E3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23</v>
      </c>
      <c r="F3">
        <f>tblInventory[[#This Row],[UnitCost]]*tblInventory[[#This Row],[StockOnHand]]</f>
        <v>506000</v>
      </c>
      <c r="G3">
        <f>_xlfn.XLOOKUP(tblInventory[[#This Row],[ProductID]],tblProducts[[#This Row],[ProductID]],tblProducts[[#This Row],[ReorderLevel]],,)</f>
        <v>5</v>
      </c>
      <c r="H3" t="str">
        <f>IF(tblInventory[[#This Row],[StockOnHand]]&lt;=0,"Out of stock", IF(tblInventory[[#This Row],[StockOnHand]]&lt;=tblInventory[[#This Row],[ReorderLevel]],"Reorder", "In stock"))</f>
        <v>In stock</v>
      </c>
    </row>
    <row r="4" spans="1:8">
      <c r="A4" t="str">
        <f>tblProducts[[#This Row],[ProductID]]</f>
        <v>P003</v>
      </c>
      <c r="B4" t="str">
        <f>_xlfn.XLOOKUP(tblInventory[[#This Row],[ProductID]],tblProducts[[#This Row],[ProductID]],tblProducts[[#This Row],[ProductName]],,0)</f>
        <v>USB-C Hub</v>
      </c>
      <c r="C4" t="str">
        <f>_xlfn.XLOOKUP(tblInventory[[#This Row],[ProductID]],tblProducts[[#This Row],[ProductID]],tblProducts[[#This Row],[Category]],,0)</f>
        <v>Accessories</v>
      </c>
      <c r="D4">
        <f>_xlfn.XLOOKUP(tblInventory[[#This Row],[ProductID]],tblProducts[[#This Row],[ProductID]],tblProducts[[#This Row],[UnitCost]],,0)</f>
        <v>14500</v>
      </c>
      <c r="E4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12</v>
      </c>
      <c r="F4">
        <f>tblInventory[[#This Row],[UnitCost]]*tblInventory[[#This Row],[StockOnHand]]</f>
        <v>174000</v>
      </c>
      <c r="G4">
        <f>_xlfn.XLOOKUP(tblInventory[[#This Row],[ProductID]],tblProducts[[#This Row],[ProductID]],tblProducts[[#This Row],[ReorderLevel]],,)</f>
        <v>8</v>
      </c>
      <c r="H4" t="str">
        <f>IF(tblInventory[[#This Row],[StockOnHand]]&lt;=0,"Out of stock", IF(tblInventory[[#This Row],[StockOnHand]]&lt;=tblInventory[[#This Row],[ReorderLevel]],"Reorder", "In stock"))</f>
        <v>In stock</v>
      </c>
    </row>
    <row r="5" spans="1:8">
      <c r="A5" t="str">
        <f>tblProducts[[#This Row],[ProductID]]</f>
        <v>P004</v>
      </c>
      <c r="B5" t="str">
        <f>_xlfn.XLOOKUP(tblInventory[[#This Row],[ProductID]],tblProducts[[#This Row],[ProductID]],tblProducts[[#This Row],[ProductName]],,0)</f>
        <v>Laptop Stand</v>
      </c>
      <c r="C5" t="str">
        <f>_xlfn.XLOOKUP(tblInventory[[#This Row],[ProductID]],tblProducts[[#This Row],[ProductID]],tblProducts[[#This Row],[Category]],,0)</f>
        <v>Office Equipment</v>
      </c>
      <c r="D5">
        <f>_xlfn.XLOOKUP(tblInventory[[#This Row],[ProductID]],tblProducts[[#This Row],[ProductID]],tblProducts[[#This Row],[UnitCost]],,0)</f>
        <v>18000</v>
      </c>
      <c r="E5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4</v>
      </c>
      <c r="F5">
        <f>tblInventory[[#This Row],[UnitCost]]*tblInventory[[#This Row],[StockOnHand]]</f>
        <v>72000</v>
      </c>
      <c r="G5">
        <f>_xlfn.XLOOKUP(tblInventory[[#This Row],[ProductID]],tblProducts[[#This Row],[ProductID]],tblProducts[[#This Row],[ReorderLevel]],,)</f>
        <v>5</v>
      </c>
      <c r="H5" t="str">
        <f>IF(tblInventory[[#This Row],[StockOnHand]]&lt;=0,"Out of stock", IF(tblInventory[[#This Row],[StockOnHand]]&lt;=tblInventory[[#This Row],[ReorderLevel]],"Reorder", "In stock"))</f>
        <v>Reorder</v>
      </c>
    </row>
    <row r="6" spans="1:8">
      <c r="A6" t="str">
        <f>tblProducts[[#This Row],[ProductID]]</f>
        <v>P005</v>
      </c>
      <c r="B6" t="str">
        <f>_xlfn.XLOOKUP(tblInventory[[#This Row],[ProductID]],tblProducts[[#This Row],[ProductID]],tblProducts[[#This Row],[ProductName]],,0)</f>
        <v>27-inch Monitor</v>
      </c>
      <c r="C6" t="str">
        <f>_xlfn.XLOOKUP(tblInventory[[#This Row],[ProductID]],tblProducts[[#This Row],[ProductID]],tblProducts[[#This Row],[Category]],,0)</f>
        <v>Electronics</v>
      </c>
      <c r="D6">
        <f>_xlfn.XLOOKUP(tblInventory[[#This Row],[ProductID]],tblProducts[[#This Row],[ProductID]],tblProducts[[#This Row],[UnitCost]],,0)</f>
        <v>95000</v>
      </c>
      <c r="E6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4</v>
      </c>
      <c r="F6">
        <f>tblInventory[[#This Row],[UnitCost]]*tblInventory[[#This Row],[StockOnHand]]</f>
        <v>380000</v>
      </c>
      <c r="G6">
        <f>_xlfn.XLOOKUP(tblInventory[[#This Row],[ProductID]],tblProducts[[#This Row],[ProductID]],tblProducts[[#This Row],[ReorderLevel]],,)</f>
        <v>4</v>
      </c>
      <c r="H6" t="str">
        <f>IF(tblInventory[[#This Row],[StockOnHand]]&lt;=0,"Out of stock", IF(tblInventory[[#This Row],[StockOnHand]]&lt;=tblInventory[[#This Row],[ReorderLevel]],"Reorder", "In stock"))</f>
        <v>Reorder</v>
      </c>
    </row>
    <row r="7" spans="1:8">
      <c r="A7" t="str">
        <f>tblProducts[[#This Row],[ProductID]]</f>
        <v>P006</v>
      </c>
      <c r="B7" t="str">
        <f>_xlfn.XLOOKUP(tblInventory[[#This Row],[ProductID]],tblProducts[[#This Row],[ProductID]],tblProducts[[#This Row],[ProductName]],,0)</f>
        <v>Webcam</v>
      </c>
      <c r="C7" t="str">
        <f>_xlfn.XLOOKUP(tblInventory[[#This Row],[ProductID]],tblProducts[[#This Row],[ProductID]],tblProducts[[#This Row],[Category]],,0)</f>
        <v>Electronics</v>
      </c>
      <c r="D7">
        <f>_xlfn.XLOOKUP(tblInventory[[#This Row],[ProductID]],tblProducts[[#This Row],[ProductID]],tblProducts[[#This Row],[UnitCost]],,0)</f>
        <v>32000</v>
      </c>
      <c r="E7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15</v>
      </c>
      <c r="F7">
        <f>tblInventory[[#This Row],[UnitCost]]*tblInventory[[#This Row],[StockOnHand]]</f>
        <v>480000</v>
      </c>
      <c r="G7">
        <f>_xlfn.XLOOKUP(tblInventory[[#This Row],[ProductID]],tblProducts[[#This Row],[ProductID]],tblProducts[[#This Row],[ReorderLevel]],,)</f>
        <v>6</v>
      </c>
      <c r="H7" t="str">
        <f>IF(tblInventory[[#This Row],[StockOnHand]]&lt;=0,"Out of stock", IF(tblInventory[[#This Row],[StockOnHand]]&lt;=tblInventory[[#This Row],[ReorderLevel]],"Reorder", "In stock"))</f>
        <v>In stock</v>
      </c>
    </row>
    <row r="8" spans="1:8">
      <c r="A8" t="str">
        <f>tblProducts[[#This Row],[ProductID]]</f>
        <v>P007</v>
      </c>
      <c r="B8" t="str">
        <f>_xlfn.XLOOKUP(tblInventory[[#This Row],[ProductID]],tblProducts[[#This Row],[ProductID]],tblProducts[[#This Row],[ProductName]],,0)</f>
        <v>Headphones</v>
      </c>
      <c r="C8" t="str">
        <f>_xlfn.XLOOKUP(tblInventory[[#This Row],[ProductID]],tblProducts[[#This Row],[ProductID]],tblProducts[[#This Row],[Category]],,0)</f>
        <v>Electronics</v>
      </c>
      <c r="D8">
        <f>_xlfn.XLOOKUP(tblInventory[[#This Row],[ProductID]],tblProducts[[#This Row],[ProductID]],tblProducts[[#This Row],[UnitCost]],,0)</f>
        <v>27000</v>
      </c>
      <c r="E8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8</v>
      </c>
      <c r="F8">
        <f>tblInventory[[#This Row],[UnitCost]]*tblInventory[[#This Row],[StockOnHand]]</f>
        <v>216000</v>
      </c>
      <c r="G8">
        <f>_xlfn.XLOOKUP(tblInventory[[#This Row],[ProductID]],tblProducts[[#This Row],[ProductID]],tblProducts[[#This Row],[ReorderLevel]],,)</f>
        <v>8</v>
      </c>
      <c r="H8" t="str">
        <f>IF(tblInventory[[#This Row],[StockOnHand]]&lt;=0,"Out of stock", IF(tblInventory[[#This Row],[StockOnHand]]&lt;=tblInventory[[#This Row],[ReorderLevel]],"Reorder", "In stock"))</f>
        <v>Reorder</v>
      </c>
    </row>
    <row r="9" spans="1:8">
      <c r="A9" t="str">
        <f>tblProducts[[#This Row],[ProductID]]</f>
        <v>P008</v>
      </c>
      <c r="B9" t="str">
        <f>_xlfn.XLOOKUP(tblInventory[[#This Row],[ProductID]],tblProducts[[#This Row],[ProductID]],tblProducts[[#This Row],[ProductName]],,0)</f>
        <v>Laptop Backpack</v>
      </c>
      <c r="C9" t="str">
        <f>_xlfn.XLOOKUP(tblInventory[[#This Row],[ProductID]],tblProducts[[#This Row],[ProductID]],tblProducts[[#This Row],[Category]],,0)</f>
        <v>Bags</v>
      </c>
      <c r="D9">
        <f>_xlfn.XLOOKUP(tblInventory[[#This Row],[ProductID]],tblProducts[[#This Row],[ProductID]],tblProducts[[#This Row],[UnitCost]],,0)</f>
        <v>21000</v>
      </c>
      <c r="E9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16</v>
      </c>
      <c r="F9">
        <f>tblInventory[[#This Row],[UnitCost]]*tblInventory[[#This Row],[StockOnHand]]</f>
        <v>336000</v>
      </c>
      <c r="G9">
        <f>_xlfn.XLOOKUP(tblInventory[[#This Row],[ProductID]],tblProducts[[#This Row],[ProductID]],tblProducts[[#This Row],[ReorderLevel]],,)</f>
        <v>5</v>
      </c>
      <c r="H9" t="str">
        <f>IF(tblInventory[[#This Row],[StockOnHand]]&lt;=0,"Out of stock", IF(tblInventory[[#This Row],[StockOnHand]]&lt;=tblInventory[[#This Row],[ReorderLevel]],"Reorder", "In stock"))</f>
        <v>In stock</v>
      </c>
    </row>
    <row r="10" spans="1:8">
      <c r="A10" t="str">
        <f>tblProducts[[#This Row],[ProductID]]</f>
        <v>P009</v>
      </c>
      <c r="B10" t="str">
        <f>_xlfn.XLOOKUP(tblInventory[[#This Row],[ProductID]],tblProducts[[#This Row],[ProductID]],tblProducts[[#This Row],[ProductName]],,0)</f>
        <v>USB Flash Drive 64GB</v>
      </c>
      <c r="C10" t="str">
        <f>_xlfn.XLOOKUP(tblInventory[[#This Row],[ProductID]],tblProducts[[#This Row],[ProductID]],tblProducts[[#This Row],[Category]],,0)</f>
        <v>Storage</v>
      </c>
      <c r="D10">
        <f>_xlfn.XLOOKUP(tblInventory[[#This Row],[ProductID]],tblProducts[[#This Row],[ProductID]],tblProducts[[#This Row],[UnitCost]],,0)</f>
        <v>7500</v>
      </c>
      <c r="E10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28</v>
      </c>
      <c r="F10">
        <f>tblInventory[[#This Row],[UnitCost]]*tblInventory[[#This Row],[StockOnHand]]</f>
        <v>210000</v>
      </c>
      <c r="G10">
        <f>_xlfn.XLOOKUP(tblInventory[[#This Row],[ProductID]],tblProducts[[#This Row],[ProductID]],tblProducts[[#This Row],[ReorderLevel]],,)</f>
        <v>15</v>
      </c>
      <c r="H10" t="str">
        <f>IF(tblInventory[[#This Row],[StockOnHand]]&lt;=0,"Out of stock", IF(tblInventory[[#This Row],[StockOnHand]]&lt;=tblInventory[[#This Row],[ReorderLevel]],"Reorder", "In stock"))</f>
        <v>In stock</v>
      </c>
    </row>
    <row r="11" spans="1:8">
      <c r="A11" t="str">
        <f>tblProducts[[#This Row],[ProductID]]</f>
        <v>P010</v>
      </c>
      <c r="B11" t="str">
        <f>_xlfn.XLOOKUP(tblInventory[[#This Row],[ProductID]],tblProducts[[#This Row],[ProductID]],tblProducts[[#This Row],[ProductName]],,0)</f>
        <v>External SSD 1TB</v>
      </c>
      <c r="C11" t="str">
        <f>_xlfn.XLOOKUP(tblInventory[[#This Row],[ProductID]],tblProducts[[#This Row],[ProductID]],tblProducts[[#This Row],[Category]],,0)</f>
        <v>Storage</v>
      </c>
      <c r="D11">
        <f>_xlfn.XLOOKUP(tblInventory[[#This Row],[ProductID]],tblProducts[[#This Row],[ProductID]],tblProducts[[#This Row],[UnitCost]],,0)</f>
        <v>78000</v>
      </c>
      <c r="E11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9</v>
      </c>
      <c r="F11">
        <f>tblInventory[[#This Row],[UnitCost]]*tblInventory[[#This Row],[StockOnHand]]</f>
        <v>702000</v>
      </c>
      <c r="G11">
        <f>_xlfn.XLOOKUP(tblInventory[[#This Row],[ProductID]],tblProducts[[#This Row],[ProductID]],tblProducts[[#This Row],[ReorderLevel]],,)</f>
        <v>4</v>
      </c>
      <c r="H11" t="str">
        <f>IF(tblInventory[[#This Row],[StockOnHand]]&lt;=0,"Out of stock", IF(tblInventory[[#This Row],[StockOnHand]]&lt;=tblInventory[[#This Row],[ReorderLevel]],"Reorder", "In stock"))</f>
        <v>In stock</v>
      </c>
    </row>
    <row r="12" spans="1:8">
      <c r="A12" t="str">
        <f>tblProducts[[#This Row],[ProductID]]</f>
        <v>P011</v>
      </c>
      <c r="B12" t="str">
        <f>_xlfn.XLOOKUP(tblInventory[[#This Row],[ProductID]],tblProducts[[#This Row],[ProductID]],tblProducts[[#This Row],[ProductName]],,0)</f>
        <v>Wireless Keyboard</v>
      </c>
      <c r="C12" t="str">
        <f>_xlfn.XLOOKUP(tblInventory[[#This Row],[ProductID]],tblProducts[[#This Row],[ProductID]],tblProducts[[#This Row],[Category]],,0)</f>
        <v>Accessories</v>
      </c>
      <c r="D12">
        <f>_xlfn.XLOOKUP(tblInventory[[#This Row],[ProductID]],tblProducts[[#This Row],[ProductID]],tblProducts[[#This Row],[UnitCost]],,0)</f>
        <v>16000</v>
      </c>
      <c r="E12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6</v>
      </c>
      <c r="F12">
        <f>tblInventory[[#This Row],[UnitCost]]*tblInventory[[#This Row],[StockOnHand]]</f>
        <v>96000</v>
      </c>
      <c r="G12">
        <f>_xlfn.XLOOKUP(tblInventory[[#This Row],[ProductID]],tblProducts[[#This Row],[ProductID]],tblProducts[[#This Row],[ReorderLevel]],,)</f>
        <v>7</v>
      </c>
      <c r="H12" t="str">
        <f>IF(tblInventory[[#This Row],[StockOnHand]]&lt;=0,"Out of stock", IF(tblInventory[[#This Row],[StockOnHand]]&lt;=tblInventory[[#This Row],[ReorderLevel]],"Reorder", "In stock"))</f>
        <v>Reorder</v>
      </c>
    </row>
    <row r="13" spans="1:8">
      <c r="A13" t="str">
        <f>tblProducts[[#This Row],[ProductID]]</f>
        <v>P012</v>
      </c>
      <c r="B13" t="str">
        <f>_xlfn.XLOOKUP(tblInventory[[#This Row],[ProductID]],tblProducts[[#This Row],[ProductID]],tblProducts[[#This Row],[ProductName]],,0)</f>
        <v>Power Bank</v>
      </c>
      <c r="C13" t="str">
        <f>_xlfn.XLOOKUP(tblInventory[[#This Row],[ProductID]],tblProducts[[#This Row],[ProductID]],tblProducts[[#This Row],[Category]],,0)</f>
        <v>Electronics</v>
      </c>
      <c r="D13">
        <f>_xlfn.XLOOKUP(tblInventory[[#This Row],[ProductID]],tblProducts[[#This Row],[ProductID]],tblProducts[[#This Row],[UnitCost]],,0)</f>
        <v>19500</v>
      </c>
      <c r="E13">
        <f>SUMIFS(tblMovements[Quantity],tblMovements[ProductID],tblInventory[[#This Row],[ProductID]],tblMovements[MovementType],"Purchase") - SUMIFS(tblMovements[Quantity],tblMovements[ProductID],tblInventory[[#This Row],[ProductID]],tblMovements[MovementType],"Sale") + SUMIFS(tblMovements[Quantity],tblMovements[ProductID],tblInventory[[#This Row],[ProductID]],tblMovements[MovementType],"Adjustment")</f>
        <v>10</v>
      </c>
      <c r="F13">
        <f>tblInventory[[#This Row],[UnitCost]]*tblInventory[[#This Row],[StockOnHand]]</f>
        <v>195000</v>
      </c>
      <c r="G13">
        <f>_xlfn.XLOOKUP(tblInventory[[#This Row],[ProductID]],tblProducts[[#This Row],[ProductID]],tblProducts[[#This Row],[ReorderLevel]],,)</f>
        <v>10</v>
      </c>
      <c r="H13" t="str">
        <f>IF(tblInventory[[#This Row],[StockOnHand]]&lt;=0,"Out of stock", IF(tblInventory[[#This Row],[StockOnHand]]&lt;=tblInventory[[#This Row],[ReorderLevel]],"Reorder", "In stock"))</f>
        <v>Reorder</v>
      </c>
    </row>
    <row r="14" spans="1:8">
      <c r="A14" s="24"/>
      <c r="B14" s="25"/>
      <c r="C14" s="24"/>
      <c r="D14" s="24"/>
      <c r="E14" s="24"/>
      <c r="F14" s="11"/>
      <c r="G14" s="11"/>
      <c r="H14" s="11"/>
    </row>
  </sheetData>
  <conditionalFormatting sqref="H2">
    <cfRule type="containsText" dxfId="16" priority="3" operator="containsText" text="Reorder">
      <formula>NOT(ISERROR(SEARCH("Reorder",H2)))</formula>
    </cfRule>
    <cfRule type="containsText" dxfId="15" priority="4" operator="containsText" text="Reorder">
      <formula>NOT(ISERROR(SEARCH("Reorder",H2)))</formula>
    </cfRule>
  </conditionalFormatting>
  <conditionalFormatting sqref="H2:H13">
    <cfRule type="containsText" dxfId="1" priority="1" operator="containsText" text="Out of stock">
      <formula>NOT(ISERROR(SEARCH("Out of stock",H2)))</formula>
    </cfRule>
    <cfRule type="containsText" dxfId="0" priority="2" operator="containsText" text="Reorder">
      <formula>NOT(ISERROR(SEARCH("Reorder",H2)))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39FF-DDB6-43A7-9F74-DE5EEC39DB81}">
  <dimension ref="A1:H23"/>
  <sheetViews>
    <sheetView workbookViewId="0">
      <selection activeCell="I6" sqref="I6"/>
    </sheetView>
  </sheetViews>
  <sheetFormatPr defaultRowHeight="15"/>
  <cols>
    <col min="1" max="1" width="20" customWidth="1"/>
    <col min="2" max="2" width="16.140625" customWidth="1"/>
    <col min="3" max="3" width="11.28515625" customWidth="1"/>
    <col min="4" max="4" width="18.28515625" customWidth="1"/>
    <col min="5" max="5" width="12.85546875" customWidth="1"/>
    <col min="6" max="6" width="13.7109375" customWidth="1"/>
    <col min="7" max="7" width="21.140625" customWidth="1"/>
    <col min="8" max="8" width="14.7109375" customWidth="1"/>
  </cols>
  <sheetData>
    <row r="1" spans="1:8" ht="28.5">
      <c r="A1" s="16" t="s">
        <v>90</v>
      </c>
      <c r="B1" s="15"/>
      <c r="C1" s="15"/>
      <c r="D1" s="15"/>
      <c r="E1" s="15"/>
      <c r="F1" s="15"/>
      <c r="G1" s="15"/>
      <c r="H1" s="15"/>
    </row>
    <row r="2" spans="1:8">
      <c r="A2" s="19"/>
      <c r="B2" s="19"/>
      <c r="C2" s="19"/>
      <c r="D2" s="19"/>
      <c r="E2" s="19"/>
      <c r="F2" s="19"/>
      <c r="G2" s="19"/>
      <c r="H2" s="19"/>
    </row>
    <row r="3" spans="1:8">
      <c r="A3" s="20" t="s">
        <v>91</v>
      </c>
      <c r="B3" s="22">
        <f>COUNTA(tblProducts[ProductID])</f>
        <v>12</v>
      </c>
      <c r="C3" s="19"/>
      <c r="D3" s="21" t="s">
        <v>92</v>
      </c>
      <c r="E3" s="22">
        <f>SUM(tblInventory[StockOnHand])</f>
        <v>158</v>
      </c>
      <c r="F3" s="19"/>
      <c r="G3" s="21" t="s">
        <v>93</v>
      </c>
      <c r="H3" s="23">
        <f>SUM(tblInventory[StockValue])</f>
        <v>3562500</v>
      </c>
    </row>
    <row r="4" spans="1:8">
      <c r="A4" s="19"/>
      <c r="B4" s="19"/>
      <c r="C4" s="19"/>
      <c r="D4" s="19"/>
      <c r="E4" s="19"/>
      <c r="F4" s="19"/>
      <c r="G4" s="19"/>
      <c r="H4" s="19"/>
    </row>
    <row r="5" spans="1:8">
      <c r="A5" s="19"/>
      <c r="B5" s="19"/>
      <c r="C5" s="19"/>
      <c r="D5" s="19"/>
      <c r="E5" s="19"/>
      <c r="F5" s="19"/>
      <c r="G5" s="19"/>
      <c r="H5" s="19"/>
    </row>
    <row r="6" spans="1:8">
      <c r="A6" s="14" t="s">
        <v>94</v>
      </c>
      <c r="B6" s="22">
        <f>COUNTIF(tblInventory[StockStatus],"Reorder")</f>
        <v>5</v>
      </c>
      <c r="C6" s="19"/>
      <c r="D6" s="20" t="s">
        <v>95</v>
      </c>
      <c r="E6" s="22">
        <f>COUNTIF(tblInventory[StockStatus],"Out of stock")</f>
        <v>0</v>
      </c>
      <c r="F6" s="19"/>
      <c r="G6" s="21" t="s">
        <v>96</v>
      </c>
      <c r="H6" s="22">
        <f>COUNTIF(tblInventory[StockStatus],"In stock")</f>
        <v>7</v>
      </c>
    </row>
    <row r="7" spans="1:8">
      <c r="A7" s="19"/>
      <c r="B7" s="19"/>
      <c r="C7" s="19"/>
      <c r="D7" s="19"/>
      <c r="E7" s="19"/>
      <c r="F7" s="19"/>
      <c r="G7" s="14"/>
      <c r="H7" s="14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8" t="s">
        <v>102</v>
      </c>
      <c r="B17" s="17"/>
      <c r="C17" s="19"/>
      <c r="D17" s="19"/>
      <c r="E17" s="19"/>
      <c r="F17" s="19"/>
      <c r="G17" s="19"/>
      <c r="H17" s="19"/>
    </row>
    <row r="18" spans="1:8">
      <c r="A18" s="1" t="s">
        <v>0</v>
      </c>
      <c r="B18" s="2" t="s">
        <v>1</v>
      </c>
      <c r="C18" s="2" t="s">
        <v>2</v>
      </c>
      <c r="D18" s="2" t="s">
        <v>4</v>
      </c>
      <c r="E18" s="2" t="s">
        <v>82</v>
      </c>
      <c r="F18" s="2" t="s">
        <v>83</v>
      </c>
      <c r="G18" s="2" t="s">
        <v>5</v>
      </c>
      <c r="H18" s="3" t="s">
        <v>84</v>
      </c>
    </row>
    <row r="19" spans="1:8">
      <c r="A19" s="4" t="s">
        <v>15</v>
      </c>
      <c r="B19" s="5" t="s">
        <v>16</v>
      </c>
      <c r="C19" s="5" t="s">
        <v>17</v>
      </c>
      <c r="D19" s="5">
        <v>18000</v>
      </c>
      <c r="E19" s="5">
        <v>4</v>
      </c>
      <c r="F19" s="5">
        <v>72000</v>
      </c>
      <c r="G19" s="5">
        <v>5</v>
      </c>
      <c r="H19" s="6" t="s">
        <v>101</v>
      </c>
    </row>
    <row r="20" spans="1:8">
      <c r="A20" s="7" t="s">
        <v>19</v>
      </c>
      <c r="B20" s="8" t="s">
        <v>20</v>
      </c>
      <c r="C20" s="8" t="s">
        <v>21</v>
      </c>
      <c r="D20" s="8">
        <v>95000</v>
      </c>
      <c r="E20" s="8">
        <v>4</v>
      </c>
      <c r="F20" s="8">
        <v>380000</v>
      </c>
      <c r="G20" s="8">
        <v>4</v>
      </c>
      <c r="H20" s="9" t="s">
        <v>101</v>
      </c>
    </row>
    <row r="21" spans="1:8">
      <c r="A21" s="4" t="s">
        <v>25</v>
      </c>
      <c r="B21" s="5" t="s">
        <v>26</v>
      </c>
      <c r="C21" s="5" t="s">
        <v>21</v>
      </c>
      <c r="D21" s="5">
        <v>27000</v>
      </c>
      <c r="E21" s="5">
        <v>8</v>
      </c>
      <c r="F21" s="5">
        <v>216000</v>
      </c>
      <c r="G21" s="5">
        <v>8</v>
      </c>
      <c r="H21" s="6" t="s">
        <v>101</v>
      </c>
    </row>
    <row r="22" spans="1:8">
      <c r="A22" s="7" t="s">
        <v>35</v>
      </c>
      <c r="B22" s="8" t="s">
        <v>36</v>
      </c>
      <c r="C22" s="8" t="s">
        <v>8</v>
      </c>
      <c r="D22" s="8">
        <v>16000</v>
      </c>
      <c r="E22" s="8">
        <v>6</v>
      </c>
      <c r="F22" s="8">
        <v>96000</v>
      </c>
      <c r="G22" s="8">
        <v>7</v>
      </c>
      <c r="H22" s="9" t="s">
        <v>101</v>
      </c>
    </row>
    <row r="23" spans="1:8">
      <c r="A23" s="4" t="s">
        <v>37</v>
      </c>
      <c r="B23" s="5" t="s">
        <v>38</v>
      </c>
      <c r="C23" s="5" t="s">
        <v>21</v>
      </c>
      <c r="D23" s="5">
        <v>19500</v>
      </c>
      <c r="E23" s="5">
        <v>10</v>
      </c>
      <c r="F23" s="5">
        <v>195000</v>
      </c>
      <c r="G23" s="5">
        <v>10</v>
      </c>
      <c r="H23" s="6" t="s">
        <v>101</v>
      </c>
    </row>
  </sheetData>
  <conditionalFormatting sqref="H19:H23">
    <cfRule type="containsText" dxfId="10" priority="1" operator="containsText" text="Out of stock">
      <formula>NOT(ISERROR(SEARCH("Out of stock",H19)))</formula>
    </cfRule>
    <cfRule type="containsText" dxfId="9" priority="2" operator="containsText" text="Reorder">
      <formula>NOT(ISERROR(SEARCH("Reorder",H19)))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68CA-4527-4EC6-9C21-1F5F577CEF00}">
  <dimension ref="A3:B9"/>
  <sheetViews>
    <sheetView workbookViewId="0">
      <selection activeCell="A5" sqref="A5"/>
    </sheetView>
  </sheetViews>
  <sheetFormatPr defaultRowHeight="15"/>
  <cols>
    <col min="1" max="1" width="16.7109375" bestFit="1" customWidth="1"/>
    <col min="2" max="2" width="17.7109375" bestFit="1" customWidth="1"/>
  </cols>
  <sheetData>
    <row r="3" spans="1:2">
      <c r="A3" s="12" t="s">
        <v>97</v>
      </c>
      <c r="B3" t="s">
        <v>99</v>
      </c>
    </row>
    <row r="4" spans="1:2">
      <c r="A4" s="13" t="s">
        <v>8</v>
      </c>
      <c r="B4" s="11">
        <v>971500</v>
      </c>
    </row>
    <row r="5" spans="1:2">
      <c r="A5" s="13" t="s">
        <v>29</v>
      </c>
      <c r="B5" s="11">
        <v>336000</v>
      </c>
    </row>
    <row r="6" spans="1:2">
      <c r="A6" s="13" t="s">
        <v>21</v>
      </c>
      <c r="B6" s="11">
        <v>1271000</v>
      </c>
    </row>
    <row r="7" spans="1:2">
      <c r="A7" s="13" t="s">
        <v>17</v>
      </c>
      <c r="B7" s="11">
        <v>72000</v>
      </c>
    </row>
    <row r="8" spans="1:2">
      <c r="A8" s="13" t="s">
        <v>32</v>
      </c>
      <c r="B8" s="11">
        <v>912000</v>
      </c>
    </row>
    <row r="9" spans="1:2">
      <c r="A9" s="13" t="s">
        <v>98</v>
      </c>
      <c r="B9" s="11">
        <v>3562500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5022-F598-4062-A947-9407BF99B42E}">
  <dimension ref="A3:B16"/>
  <sheetViews>
    <sheetView tabSelected="1" workbookViewId="0">
      <selection activeCell="F17" sqref="F17"/>
    </sheetView>
  </sheetViews>
  <sheetFormatPr defaultRowHeight="15"/>
  <cols>
    <col min="1" max="1" width="20.140625" bestFit="1" customWidth="1"/>
    <col min="2" max="2" width="19.7109375" bestFit="1" customWidth="1"/>
  </cols>
  <sheetData>
    <row r="3" spans="1:2">
      <c r="A3" s="12" t="s">
        <v>97</v>
      </c>
      <c r="B3" t="s">
        <v>100</v>
      </c>
    </row>
    <row r="4" spans="1:2">
      <c r="A4" s="13" t="s">
        <v>20</v>
      </c>
      <c r="B4" s="11">
        <v>4</v>
      </c>
    </row>
    <row r="5" spans="1:2">
      <c r="A5" s="13" t="s">
        <v>34</v>
      </c>
      <c r="B5" s="11">
        <v>9</v>
      </c>
    </row>
    <row r="6" spans="1:2">
      <c r="A6" s="13" t="s">
        <v>26</v>
      </c>
      <c r="B6" s="11">
        <v>8</v>
      </c>
    </row>
    <row r="7" spans="1:2">
      <c r="A7" s="13" t="s">
        <v>28</v>
      </c>
      <c r="B7" s="11">
        <v>16</v>
      </c>
    </row>
    <row r="8" spans="1:2">
      <c r="A8" s="13" t="s">
        <v>16</v>
      </c>
      <c r="B8" s="11">
        <v>4</v>
      </c>
    </row>
    <row r="9" spans="1:2">
      <c r="A9" s="13" t="s">
        <v>11</v>
      </c>
      <c r="B9" s="11">
        <v>23</v>
      </c>
    </row>
    <row r="10" spans="1:2">
      <c r="A10" s="13" t="s">
        <v>38</v>
      </c>
      <c r="B10" s="11">
        <v>10</v>
      </c>
    </row>
    <row r="11" spans="1:2">
      <c r="A11" s="13" t="s">
        <v>31</v>
      </c>
      <c r="B11" s="11">
        <v>28</v>
      </c>
    </row>
    <row r="12" spans="1:2">
      <c r="A12" s="13" t="s">
        <v>14</v>
      </c>
      <c r="B12" s="11">
        <v>12</v>
      </c>
    </row>
    <row r="13" spans="1:2">
      <c r="A13" s="13" t="s">
        <v>24</v>
      </c>
      <c r="B13" s="11">
        <v>15</v>
      </c>
    </row>
    <row r="14" spans="1:2">
      <c r="A14" s="13" t="s">
        <v>36</v>
      </c>
      <c r="B14" s="11">
        <v>6</v>
      </c>
    </row>
    <row r="15" spans="1:2">
      <c r="A15" s="13" t="s">
        <v>7</v>
      </c>
      <c r="B15" s="11">
        <v>23</v>
      </c>
    </row>
    <row r="16" spans="1:2">
      <c r="A16" s="13" t="s">
        <v>98</v>
      </c>
      <c r="B16" s="11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Stock movements</vt:lpstr>
      <vt:lpstr>iniventory summary</vt:lpstr>
      <vt:lpstr>dashboard</vt:lpstr>
      <vt:lpstr>CategoryAnalysis</vt:lpstr>
      <vt:lpstr>total stock on hand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Arowolo</dc:creator>
  <cp:lastModifiedBy>Hassan Arowolo</cp:lastModifiedBy>
  <dcterms:created xsi:type="dcterms:W3CDTF">2026-10-27T06:27:00Z</dcterms:created>
  <dcterms:modified xsi:type="dcterms:W3CDTF">2026-10-27T14:43:39Z</dcterms:modified>
</cp:coreProperties>
</file>